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9973be057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a0048b2490e846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₹&quot;0.00"/>
    <x:numFmt numFmtId="201" formatCode="0"/>
  </x:numFmts>
  <x:fonts count="5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color rgb="FFFFFFFF"/>
      <x:name val="Arial"/>
    </x:font>
    <x:font>
      <x:sz val="8"/>
      <x:color rgb="FF155E9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C4B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3e224879e4435" /><Relationship Type="http://schemas.openxmlformats.org/officeDocument/2006/relationships/theme" Target="/xl/theme/theme1.xml" Id="R7087907148fe4eb1" /><Relationship Type="http://schemas.openxmlformats.org/officeDocument/2006/relationships/sharedStrings" Target="/xl/sharedStrings.xml" Id="Rcb31217d07b94a80" /><Relationship Type="http://schemas.openxmlformats.org/officeDocument/2006/relationships/worksheet" Target="/xl/worksheets/sheet1.xml" Id="Ra0048b2490e846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54" hidden="0" customWidth="1"/>
    <x:col min="3" max="3" width="15" hidden="0" customWidth="1"/>
    <x:col min="4" max="4" width="14" hidden="0" customWidth="1"/>
    <x:col min="5" max="5" width="34" hidden="0" customWidth="1"/>
    <x:col min="6" max="6" width="15" hidden="0" customWidth="1"/>
    <x:col min="7" max="7" width="44" hidden="0" customWidth="1"/>
    <x:col min="8" max="8" width="12" hidden="0" customWidth="1"/>
    <x:col min="9" max="9" width="15" hidden="0" customWidth="1"/>
    <x:col min="10" max="10" width="14" hidden="0" customWidth="1"/>
    <x:col min="11" max="11" width="60" hidden="0" customWidth="1"/>
  </x:cols>
  <x:sheetData>
    <x:row r="2">
      <x:c r="A2" s="1" t="str">
        <x:v>3.3 V buck module — alternate assembly, one board</x:v>
      </x:c>
    </x:row>
    <x:row r="3">
      <x:c r="A3" t="str">
        <x:v>Same PCB; L1/R2/C6 changed. L1 and C6 sourcing pending. Subtotal excludes unpriced parts; not an order-ready total.</x:v>
      </x:c>
    </x:row>
    <x:row r="5" ht="30" customHeight="1">
      <x:c r="A5" s="5" t="str">
        <x:v>Item Name</x:v>
      </x:c>
      <x:c r="B5" s="5" t="str">
        <x:v>comments</x:v>
      </x:c>
      <x:c r="C5" s="5" t="str">
        <x:v>Project</x:v>
      </x:c>
      <x:c r="D5" s="5" t="str">
        <x:v>Vendor</x:v>
      </x:c>
      <x:c r="E5" s="5" t="str">
        <x:v>Part No.</x:v>
      </x:c>
      <x:c r="F5" s="5" t="str">
        <x:v>SKU</x:v>
      </x:c>
      <x:c r="G5" s="5" t="str">
        <x:v>link (optional)</x:v>
      </x:c>
      <x:c r="H5" s="5" t="str">
        <x:v>price</x:v>
      </x:c>
      <x:c r="I5" s="5" t="str">
        <x:v>qty</x:v>
      </x:c>
      <x:c r="J5" s="5" t="str">
        <x:v>total</x:v>
      </x:c>
      <x:c r="K5" s="5" t="str">
        <x:v>Passives (side note)</x:v>
      </x:c>
    </x:row>
    <x:row r="6" ht="104" customHeight="1">
      <x:c r="A6" s="7" t="str">
        <x:v>Buck regulator U1</x:v>
      </x:c>
      <x:c r="B6" s="7" t="str">
        <x:v>1 fitted; live Robu In Stock, 15 Oct 2026</x:v>
      </x:c>
      <x:c r="C6" s="7" t="str">
        <x:v>3.3V buck EM</x:v>
      </x:c>
      <x:c r="D6" s="7" t="str">
        <x:v>Robu</x:v>
      </x:c>
      <x:c r="E6" s="7" t="str">
        <x:v>TPS54302DDCR</x:v>
      </x:c>
      <x:c r="F6" s="7" t="str">
        <x:v>R216455</x:v>
      </x:c>
      <x:c r="G6" s="8" t="str">
        <x:v>https://robu.in/product/tps54302ddcr-texas-instruments-step-down-type-adjustable-3a-4-5v28v-tsot-23-6-dc-dc-converters-rohs/</x:v>
      </x:c>
      <x:c r="H6" s="9" t="n">
        <x:v>41</x:v>
      </x:c>
      <x:c r="I6" s="12" t="n">
        <x:v>1</x:v>
      </x:c>
      <x:c r="J6" s="9" t="n">
        <x:f>IF(ISNUMBER(H6),H6*I6,"")</x:f>
        <x:v>41</x:v>
      </x:c>
      <x:c r="K6" s="7" t="str"/>
    </x:row>
    <x:row r="7" ht="104" customHeight="1">
      <x:c r="A7" s="7" t="str">
        <x:v>Shielded power inductor L1</x:v>
      </x:c>
      <x:c r="B7" s="7" t="str">
        <x:v>6.8 uH +/-20%; 36 mOhm typ; same TDK 6x6x4.5 mm body and land pattern</x:v>
      </x:c>
      <x:c r="C7" s="7" t="str">
        <x:v>3.3V buck EM</x:v>
      </x:c>
      <x:c r="D7" s="7" t="str">
        <x:v>Pending source</x:v>
      </x:c>
      <x:c r="E7" s="7" t="str">
        <x:v>VLS6045EX-6R8M</x:v>
      </x:c>
      <x:c r="F7" s="7" t="str"/>
      <x:c r="G7" s="8" t="str"/>
      <x:c r="H7" s="9" t="str"/>
      <x:c r="I7" s="12" t="n">
        <x:v>1</x:v>
      </x:c>
      <x:c r="J7" s="9" t="str">
        <x:f>IF(ISNUMBER(H7),H7*I7,"")</x:f>
      </x:c>
      <x:c r="K7" s="7" t="str">
        <x:v>TDK specifies 4.7 A at 30% L drop / 3.6 A at 40 C rise. Robu exact-part search returned 0 results on 18 Oct 2026. Do not order a different footprint without review.</x:v>
      </x:c>
    </x:row>
    <x:row r="8" ht="104" customHeight="1">
      <x:c r="A8" s="7" t="str">
        <x:v>Input ceramic C1</x:v>
      </x:c>
      <x:c r="B8" s="7" t="str">
        <x:v>10 uF, 50 V, X7R, +/-10%, 1210; live In Stock 17 Oct 2026</x:v>
      </x:c>
      <x:c r="C8" s="7" t="str">
        <x:v>3.3V buck EM</x:v>
      </x:c>
      <x:c r="D8" s="7" t="str">
        <x:v>Robu</x:v>
      </x:c>
      <x:c r="E8" s="7" t="str">
        <x:v>C3225X7R1H106K250AC</x:v>
      </x:c>
      <x:c r="F8" s="7" t="str">
        <x:v>R119198</x:v>
      </x:c>
      <x:c r="G8" s="8" t="str">
        <x:v>https://robu.in/product/c3225x7r1h106k250ac-tdk-smd-multilayer-ceramic-capacitor-10-%C2%B5f-50-v-1210-3225-metric-%C2%B1-10-x7r-c/</x:v>
      </x:c>
      <x:c r="H8" s="9" t="n">
        <x:v>18</x:v>
      </x:c>
      <x:c r="I8" s="12" t="n">
        <x:v>1</x:v>
      </x:c>
      <x:c r="J8" s="9" t="n">
        <x:f>IF(ISNUMBER(H8),H8*I8,"")</x:f>
        <x:v>18</x:v>
      </x:c>
      <x:c r="K8" s="7" t="str">
        <x:v>TDK typical DC bias data: about 6.4 uF at 17 V; 1210 HandSolder. Not a guaranteed minimum.</x:v>
      </x:c>
    </x:row>
    <x:row r="9" ht="104" customHeight="1">
      <x:c r="A9" s="7" t="str">
        <x:v>Output ceramics C4, C5</x:v>
      </x:c>
      <x:c r="B9" s="7" t="str">
        <x:v>22 uF each, 25 V, X7R, ±20%, 1210; In Stock, 15 Oct 2026</x:v>
      </x:c>
      <x:c r="C9" s="7" t="str">
        <x:v>3.3V buck EM</x:v>
      </x:c>
      <x:c r="D9" s="7" t="str">
        <x:v>Robu</x:v>
      </x:c>
      <x:c r="E9" s="7" t="str">
        <x:v>C1210C226M3RACTU</x:v>
      </x:c>
      <x:c r="F9" s="7" t="str">
        <x:v>R111752</x:v>
      </x:c>
      <x:c r="G9" s="8" t="str">
        <x:v>https://robu.in/product/c1210c226m3ractu-kemet-smd-multilayer-ceramic-capacitor-22-%c2%b5f-25-v-1210-3225-metric-%c2%b1-20-x7r-c/</x:v>
      </x:c>
      <x:c r="H9" s="9" t="n">
        <x:v>18</x:v>
      </x:c>
      <x:c r="I9" s="12" t="n">
        <x:v>2</x:v>
      </x:c>
      <x:c r="J9" s="9" t="n">
        <x:f>IF(ISNUMBER(H9),H9*I9,"")</x:f>
        <x:v>36</x:v>
      </x:c>
      <x:c r="K9" s="7" t="str">
        <x:v>Buy these ceramics; use measured/vendor effective C for final qualification.</x:v>
      </x:c>
    </x:row>
    <x:row r="10" ht="104" customHeight="1">
      <x:c r="A10" s="7" t="str">
        <x:v>Feed-forward ceramic C6</x:v>
      </x:c>
      <x:c r="B10" s="7" t="str">
        <x:v>47 pF feed-forward capacitor; verify lab stock or exact Robu listing</x:v>
      </x:c>
      <x:c r="C10" s="7" t="str">
        <x:v>3.3V buck EM</x:v>
      </x:c>
      <x:c r="D10" s="7" t="str">
        <x:v>Pending source</x:v>
      </x:c>
      <x:c r="E10" s="7" t="str">
        <x:v>47pF 50V-or-higher C0G 5% 0805</x:v>
      </x:c>
      <x:c r="F10" s="7" t="str"/>
      <x:c r="G10" s="8" t="str"/>
      <x:c r="H10" s="9" t="str"/>
      <x:c r="I10" s="12" t="n">
        <x:v>1</x:v>
      </x:c>
      <x:c r="J10" s="9" t="str">
        <x:f>IF(ISNUMBER(H10),H10*I10,"")</x:f>
      </x:c>
      <x:c r="K10" s="7" t="str">
        <x:v>Robu R136737 title says CL21C470JCANNNC / 47 pF, but description and MPN say CL21C270JCANNNC / 27 pF. Excluded from approved sourcing pending clarification.</x:v>
      </x:c>
    </x:row>
    <x:row r="11" ht="64" customHeight="1">
      <x:c r="A11" s="7" t="str">
        <x:v>Bypass/bootstrap C2, C3</x:v>
      </x:c>
      <x:c r="B11" s="7" t="str">
        <x:v>Lab stock provision; verify voltage and dielectric before fitting</x:v>
      </x:c>
      <x:c r="C11" s="7" t="str">
        <x:v>3.3V buck EM</x:v>
      </x:c>
      <x:c r="D11" s="7" t="str">
        <x:v>Lab stock</x:v>
      </x:c>
      <x:c r="E11" s="7" t="str">
        <x:v>100nF 50V X7R 0805</x:v>
      </x:c>
      <x:c r="F11" s="7" t="str"/>
      <x:c r="G11" s="8" t="str"/>
      <x:c r="H11" s="9" t="n">
        <x:v>0</x:v>
      </x:c>
      <x:c r="I11" s="12" t="n">
        <x:v>2</x:v>
      </x:c>
      <x:c r="J11" s="9" t="n">
        <x:f>IF(ISNUMBER(H11),H11*I11,"")</x:f>
        <x:v>0</x:v>
      </x:c>
      <x:c r="K11" s="7" t="str">
        <x:v>2 x 100 nF, 50 V, X7R, 0805. Robu fallback to be verified if absent.</x:v>
      </x:c>
    </x:row>
    <x:row r="12" ht="64" customHeight="1">
      <x:c r="A12" s="7" t="str">
        <x:v>Feedback top resistor R1</x:v>
      </x:c>
      <x:c r="B12" s="7" t="str">
        <x:v>Lab stock provision; exact stock unconfirmed</x:v>
      </x:c>
      <x:c r="C12" s="7" t="str">
        <x:v>3.3V buck EM</x:v>
      </x:c>
      <x:c r="D12" s="7" t="str">
        <x:v>Lab stock</x:v>
      </x:c>
      <x:c r="E12" s="7" t="str">
        <x:v>100k 1% 0805</x:v>
      </x:c>
      <x:c r="F12" s="7" t="str"/>
      <x:c r="G12" s="8" t="str"/>
      <x:c r="H12" s="9" t="n">
        <x:v>0</x:v>
      </x:c>
      <x:c r="I12" s="12" t="n">
        <x:v>1</x:v>
      </x:c>
      <x:c r="J12" s="9" t="n">
        <x:f>IF(ISNUMBER(H12),H12*I12,"")</x:f>
        <x:v>0</x:v>
      </x:c>
      <x:c r="K12" s="7" t="str">
        <x:v>100 kOhm, 1%, &gt;=0.125 W, 0805</x:v>
      </x:c>
    </x:row>
    <x:row r="13" ht="64" customHeight="1">
      <x:c r="A13" s="7" t="str">
        <x:v>Feedback bottom resistor R2</x:v>
      </x:c>
      <x:c r="B13" s="7" t="str">
        <x:v>3.3 V assembly substitution; verify lab stock before fitting</x:v>
      </x:c>
      <x:c r="C13" s="7" t="str">
        <x:v>3.3V buck EM</x:v>
      </x:c>
      <x:c r="D13" s="7" t="str">
        <x:v>Lab stock</x:v>
      </x:c>
      <x:c r="E13" s="7" t="str">
        <x:v>22.1k 1% 0805</x:v>
      </x:c>
      <x:c r="F13" s="7" t="str"/>
      <x:c r="G13" s="8" t="str"/>
      <x:c r="H13" s="9" t="n">
        <x:v>0</x:v>
      </x:c>
      <x:c r="I13" s="12" t="n">
        <x:v>1</x:v>
      </x:c>
      <x:c r="J13" s="9" t="n">
        <x:f>IF(ISNUMBER(H13),H13*I13,"")</x:f>
        <x:v>0</x:v>
      </x:c>
      <x:c r="K13" s="7" t="str">
        <x:v>22.1 kOhm, 1%, &gt;=0.125 W, 0805. R1 stays 100 kOhm.</x:v>
      </x:c>
    </x:row>
    <x:row r="14" ht="64" customHeight="1">
      <x:c r="A14" s="7" t="str">
        <x:v>Enable pull-up/pull-down R3, R4</x:v>
      </x:c>
      <x:c r="B14" s="7" t="str">
        <x:v>R3 511k to jumper pin 1; R4 105k from EN to GND; unchanged values</x:v>
      </x:c>
      <x:c r="C14" s="7" t="str">
        <x:v>3.3V buck EM</x:v>
      </x:c>
      <x:c r="D14" s="7" t="str">
        <x:v>Lab stock</x:v>
      </x:c>
      <x:c r="E14" s="7" t="str">
        <x:v>511k / 105k 1% 0805</x:v>
      </x:c>
      <x:c r="F14" s="7" t="str"/>
      <x:c r="G14" s="8" t="str"/>
      <x:c r="H14" s="9" t="n">
        <x:v>0</x:v>
      </x:c>
      <x:c r="I14" s="12" t="n">
        <x:v>2</x:v>
      </x:c>
      <x:c r="J14" s="9" t="n">
        <x:f>IF(ISNUMBER(H14),H14*I14,"")</x:f>
        <x:v>0</x:v>
      </x:c>
      <x:c r="K14" s="7" t="str">
        <x:v>R3 511 kOhm; R4 105 kOhm; 1%, &gt;=0.125 W, 0805</x:v>
      </x:c>
    </x:row>
    <x:row r="15" ht="64" customHeight="1">
      <x:c r="A15" s="7" t="str">
        <x:v>Corner breadboard pins J3-J6</x:v>
      </x:c>
      <x:c r="B15" s="7" t="str">
        <x:v>Four single straight male pins; mount on BACK</x:v>
      </x:c>
      <x:c r="C15" s="7" t="str">
        <x:v>3.3V buck EM</x:v>
      </x:c>
      <x:c r="D15" s="7" t="str">
        <x:v>Lab stock</x:v>
      </x:c>
      <x:c r="E15" s="7" t="str">
        <x:v>1x01 2.54mm straight male</x:v>
      </x:c>
      <x:c r="F15" s="7" t="str"/>
      <x:c r="G15" s="8" t="str"/>
      <x:c r="H15" s="9" t="n">
        <x:v>0</x:v>
      </x:c>
      <x:c r="I15" s="12" t="n">
        <x:v>4</x:v>
      </x:c>
      <x:c r="J15" s="9" t="n">
        <x:f>IF(ISNUMBER(H15),H15*I15,"")</x:f>
        <x:v>0</x:v>
      </x:c>
      <x:c r="K15" s="7" t="str">
        <x:v>15.24 x 25.4 mm corner grid (6 x 10 breadboard pitches). Plastic and long pins below PCB.</x:v>
      </x:c>
    </x:row>
    <x:row r="16" ht="104" customHeight="1">
      <x:c r="A16" s="7" t="str">
        <x:v>Screw terminals J1, J2</x:v>
      </x:c>
      <x:c r="B16" s="7" t="str">
        <x:v>Green; live Robu In Stock, 17 Oct 2026; 5 mm pitch</x:v>
      </x:c>
      <x:c r="C16" s="7" t="str">
        <x:v>3.3V buck EM</x:v>
      </x:c>
      <x:c r="D16" s="7" t="str">
        <x:v>Robu</x:v>
      </x:c>
      <x:c r="E16" s="7" t="str">
        <x:v>XY127V-5.0-2P</x:v>
      </x:c>
      <x:c r="F16" s="7" t="str">
        <x:v>R156384</x:v>
      </x:c>
      <x:c r="G16" s="8" t="str">
        <x:v>https://robu.in/product/xy127v-5-0-xinya-2-pin-screw-terminal-blockgreen/</x:v>
      </x:c>
      <x:c r="H16" s="9" t="n">
        <x:v>10</x:v>
      </x:c>
      <x:c r="I16" s="12" t="n">
        <x:v>2</x:v>
      </x:c>
      <x:c r="J16" s="9" t="n">
        <x:f>IF(ISNUMBER(H16),H16*I16,"")</x:f>
        <x:v>20</x:v>
      </x:c>
      <x:c r="K16" s="7" t="str">
        <x:v>XINYA QJ/XYT-2239100. 12 A / 300 V, 26-14 AWG, 0.5 Nm; 0.9 x 0.5 mm leads, 1.3 mm PCB drills. Standard 5 mm pad pattern; on TOP. Both terminals: positive LEFT, GND RIGHT in top view. J1 pin 2 VIN / pin 1 GND; J2 pin 1 VOUT / pin 2 GND.</x:v>
      </x:c>
    </x:row>
    <x:row r="17" ht="64" customHeight="1">
      <x:c r="A17" s="7" t="str">
        <x:v>Enable header J7</x:v>
      </x:c>
      <x:c r="B17" s="7" t="str">
        <x:v>One 1x3 strip from lab stock; mount on BACK</x:v>
      </x:c>
      <x:c r="C17" s="7" t="str">
        <x:v>3.3V buck EM</x:v>
      </x:c>
      <x:c r="D17" s="7" t="str">
        <x:v>Lab stock</x:v>
      </x:c>
      <x:c r="E17" s="7" t="str">
        <x:v>1x03 2.54mm straight male</x:v>
      </x:c>
      <x:c r="F17" s="7" t="str"/>
      <x:c r="G17" s="8" t="str"/>
      <x:c r="H17" s="9" t="n">
        <x:v>0</x:v>
      </x:c>
      <x:c r="I17" s="12" t="n">
        <x:v>1</x:v>
      </x:c>
      <x:c r="J17" s="9" t="n">
        <x:f>IF(ISNUMBER(H17),H17*I17,"")</x:f>
        <x:v>0</x:v>
      </x:c>
      <x:c r="K17" s="7" t="str">
        <x:v>Pins point down. Fit jumper underneath: 1-2 ON, 2-3 OFF, removed OFF.</x:v>
      </x:c>
    </x:row>
    <x:row r="18" ht="104" customHeight="1">
      <x:c r="A18" s="7" t="str">
        <x:v>Enable jumper cap for J7</x:v>
      </x:c>
      <x:c r="B18" s="7" t="str">
        <x:v>Live Robu In Stock, 16 Oct 2026; one loose 2-pin cap</x:v>
      </x:c>
      <x:c r="C18" s="7" t="str">
        <x:v>3.3V buck EM</x:v>
      </x:c>
      <x:c r="D18" s="7" t="str">
        <x:v>Robu</x:v>
      </x:c>
      <x:c r="E18" s="7" t="str">
        <x:v>382811-6</x:v>
      </x:c>
      <x:c r="F18" s="7" t="str">
        <x:v>R195241</x:v>
      </x:c>
      <x:c r="G18" s="8" t="str">
        <x:v>https://robu.in/product/1-month-warranty-1087/</x:v>
      </x:c>
      <x:c r="H18" s="9" t="n">
        <x:v>14</x:v>
      </x:c>
      <x:c r="I18" s="12" t="n">
        <x:v>1</x:v>
      </x:c>
      <x:c r="J18" s="9" t="n">
        <x:f>IF(ISNUMBER(H18),H18*I18,"")</x:f>
        <x:v>14</x:v>
      </x:c>
      <x:c r="K18" s="7" t="str">
        <x:v>TE Connectivity; 2.54 mm pitch; open top. Cap 1-2 ON, 2-3 OFF; no cap OFF. Standard lab cap may replace.</x:v>
      </x:c>
    </x:row>
    <x:row r="19">
      <x:c r="J19" s="10"/>
    </x:row>
    <x:row r="20">
      <x:c r="I20" t="str">
        <x:v>Priced Robu parts</x:v>
      </x:c>
      <x:c r="J20" s="10" t="n">
        <x:f>SUMIF(D6:D18,"Robu",J6:J18)</x:f>
        <x:v>129</x:v>
      </x:c>
    </x:row>
    <x:row r="21">
      <x:c r="I21" t="str">
        <x:v>Known subtotal</x:v>
      </x:c>
      <x:c r="J21" s="10" t="n">
        <x:f>SUM(J6:J18)</x:f>
        <x:v>129</x:v>
      </x:c>
    </x:row>
    <x:row r="23">
      <x:c r="A23" t="str">
        <x:v>Unpriced: L1 and C6. Other lab-stock provisions also need checking. 3.3 V assembly is not independently simulated or bench validated.</x:v>
      </x:c>
    </x:row>
  </x:sheetData>
  <x:pageMargins left="0.7" right="0.7" top="0.75" bottom="0.75" header="0.3" footer="0.3"/>
</x:worksheet>
</file>